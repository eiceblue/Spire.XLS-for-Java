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pireJavaProject\SpireDocTest2\Data\"/>
    </mc:Choice>
  </mc:AlternateContent>
  <xr:revisionPtr revIDLastSave="0" documentId="13_ncr:1_{C39EBA6E-6C07-41BE-9D07-8983CD97787A}" xr6:coauthVersionLast="47" xr6:coauthVersionMax="47" xr10:uidLastSave="{00000000-0000-0000-0000-000000000000}"/>
  <bookViews>
    <workbookView activeTab="1" xWindow="-120" yWindow="-120" windowWidth="29040" windowHeight="15840" xr2:uid="{00000000-000D-0000-FFFF-FFFF00000000}"/>
  </bookViews>
  <sheets>
    <sheet name="Portfolio Scenario Analysis" sheetId="2" r:id="rId6"/>
    <sheet name="Stocks Price Prediction" sheetId="1" r:id="rId1"/>
  </sheets>
  <calcPr fullCalcOnLoad="1"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" l="1"/>
  <c r="H17" i="1"/>
  <c r="E17" i="1"/>
  <c r="I16" i="1"/>
  <c r="H16" i="1"/>
  <c r="G16" i="1"/>
  <c r="E16" i="1"/>
  <c r="I15" i="1"/>
  <c r="H15" i="1"/>
  <c r="G15" i="1"/>
  <c r="E15" i="1"/>
  <c r="I14" i="1"/>
  <c r="H14" i="1"/>
  <c r="G14" i="1"/>
  <c r="E14" i="1"/>
  <c r="I13" i="1"/>
  <c r="H13" i="1"/>
  <c r="G13" i="1"/>
  <c r="E13" i="1"/>
  <c r="I12" i="1"/>
  <c r="H12" i="1"/>
  <c r="G12" i="1"/>
  <c r="E12" i="1"/>
  <c r="I11" i="1"/>
  <c r="H11" i="1"/>
  <c r="G11" i="1"/>
  <c r="E11" i="1"/>
  <c r="I10" i="1"/>
  <c r="H10" i="1"/>
  <c r="G10" i="1"/>
  <c r="E10" i="1"/>
  <c r="I9" i="1"/>
  <c r="H9" i="1"/>
  <c r="G9" i="1"/>
  <c r="E9" i="1"/>
  <c r="I8" i="1"/>
  <c r="H8" i="1"/>
  <c r="G8" i="1"/>
  <c r="E8" i="1"/>
  <c r="L7" i="1"/>
  <c r="I7" i="1"/>
  <c r="H7" i="1"/>
  <c r="G7" i="1"/>
  <c r="E7" i="1"/>
  <c r="L6" i="1"/>
  <c r="I6" i="1"/>
  <c r="H6" i="1"/>
  <c r="G6" i="1"/>
  <c r="E6" i="1"/>
  <c r="L5" i="1"/>
  <c r="I5" i="1"/>
  <c r="H5" i="1"/>
  <c r="G5" i="1"/>
  <c r="E5" i="1"/>
  <c r="L4" i="1"/>
</calcChain>
</file>

<file path=xl/sharedStrings.xml><?xml version="1.0" encoding="utf-8"?>
<sst xmlns="http://schemas.openxmlformats.org/spreadsheetml/2006/main" count="27" uniqueCount="27">
  <si>
    <t>S.No</t>
  </si>
  <si>
    <t>Stock Name</t>
  </si>
  <si>
    <t>Quantity</t>
  </si>
  <si>
    <t>Profit/Loss</t>
  </si>
  <si>
    <t>Total</t>
  </si>
  <si>
    <t>Profit/Loss %</t>
  </si>
  <si>
    <t>Stock 1</t>
  </si>
  <si>
    <t>Stock 2</t>
  </si>
  <si>
    <t>Stock 3</t>
  </si>
  <si>
    <t>Stock 4</t>
  </si>
  <si>
    <t>Stock 5</t>
  </si>
  <si>
    <t>Stock 6</t>
  </si>
  <si>
    <t>Stock 7</t>
  </si>
  <si>
    <t>Stock 8</t>
  </si>
  <si>
    <t>Stock 9</t>
  </si>
  <si>
    <t>Stock 10</t>
  </si>
  <si>
    <t>Stock 11</t>
  </si>
  <si>
    <t>Stock 12</t>
  </si>
  <si>
    <t>Prediticted Profit or Loss</t>
  </si>
  <si>
    <t>Prediticted Net Worth</t>
  </si>
  <si>
    <t>Current Net Worth</t>
  </si>
  <si>
    <r>
      <rPr>
        <b/>
        <sz val="36"/>
        <color theme="1"/>
        <rFont val="等线"/>
        <family val="2"/>
        <scheme val="minor"/>
      </rPr>
      <t>Stock Price Prediction</t>
    </r>
    <r>
      <rPr>
        <b/>
        <u/>
        <sz val="36"/>
        <color theme="1"/>
        <rFont val="等线"/>
        <family val="2"/>
        <scheme val="minor"/>
      </rPr>
      <t xml:space="preserve"> </t>
    </r>
  </si>
  <si>
    <t>Current Total Stock Value</t>
  </si>
  <si>
    <t>% Change for 5 Years</t>
  </si>
  <si>
    <t>Total Stock Value After 5 Years</t>
  </si>
  <si>
    <t>Stock Price After 5 Years</t>
  </si>
  <si>
    <t>Current Stock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</si>
</sst>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</numFmts>
  <fonts count="1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36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sz val="14"/>
      <color theme="1"/>
      <name val="等线"/>
      <family val="2"/>
      <scheme val="minor"/>
    </font>
    <font>
      <b/>
      <u/>
      <sz val="36"/>
      <color theme="1"/>
      <name val="等线"/>
      <family val="2"/>
      <scheme val="minor"/>
    </font>
    <font>
      <b/>
      <sz val="36"/>
      <color theme="1"/>
      <name val="等线"/>
      <family val="2"/>
      <scheme val="minor"/>
    </font>
    <font>
      <u/>
      <sz val="11"/>
      <color rgb="FF0000FF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等线"/>
      <family val="2"/>
      <scheme val="minor"/>
    </font>
    <font>
      <b/>
      <sz val="16"/>
      <color rgb="FF1F4E79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0" borderId="0"/>
  </cellStyleXfs>
  <cellXfs count="20">
    <xf numFmtId="0" fontId="0" fillId="0" borderId="0" xfId="0"/>
    <xf numFmtId="9" fontId="0" fillId="0" borderId="0" xfId="0" applyNumberFormat="1"/>
    <xf numFmtId="0" fontId="2" fillId="0" borderId="0" xfId="0" applyFont="1" applyAlignment="1">
      <alignment vertical="center"/>
    </xf>
    <xf numFmtId="176" fontId="5" fillId="0" borderId="1" xfId="2" applyFont="1" applyBorder="1"/>
    <xf numFmtId="10" fontId="5" fillId="0" borderId="1" xfId="1" applyNumberFormat="1" applyFont="1" applyBorder="1"/>
    <xf numFmtId="0" fontId="5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176" fontId="0" fillId="3" borderId="1" xfId="2" applyFon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2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1">
    <dxf>
      <font>
        <color theme="1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6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anchor="ctr"/>
          <a:lstStyle/>
          <a:p>
            <a:pPr algn="ctr">
              <a:defRPr/>
            </a:pPr>
            <a:r>
              <a:rPr lang="en-US" sz="1400" b="0" i="0" u="none" cap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Calibri"/>
                <a:cs typeface="Calibri"/>
              </a:rPr>
              <a:t>Investment Vs Prediction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'Stocks Price Prediction'!$E$4</c:f>
              <c:strCache>
                <c:ptCount val="1"/>
                <c:pt idx="0">
                  <c:v>Current Total Stock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'Stocks Price Prediction'!$B$5:$B$16</c:f>
              <c:strCache>
                <c:ptCount val="12"/>
                <c:pt idx="0">
                  <c:v>Stock 1</c:v>
                </c:pt>
                <c:pt idx="1">
                  <c:v>Stock 2</c:v>
                </c:pt>
                <c:pt idx="2">
                  <c:v>Stock 3</c:v>
                </c:pt>
                <c:pt idx="3">
                  <c:v>Stock 4</c:v>
                </c:pt>
                <c:pt idx="4">
                  <c:v>Stock 5</c:v>
                </c:pt>
                <c:pt idx="5">
                  <c:v>Stock 6</c:v>
                </c:pt>
                <c:pt idx="6">
                  <c:v>Stock 7</c:v>
                </c:pt>
                <c:pt idx="7">
                  <c:v>Stock 8</c:v>
                </c:pt>
                <c:pt idx="8">
                  <c:v>Stock 9</c:v>
                </c:pt>
                <c:pt idx="9">
                  <c:v>Stock 10</c:v>
                </c:pt>
                <c:pt idx="10">
                  <c:v>Stock 11</c:v>
                </c:pt>
                <c:pt idx="11">
                  <c:v>Stock 12</c:v>
                </c:pt>
              </c:strCache>
            </c:strRef>
          </c:cat>
          <c:val>
            <c:numRef>
              <c:f>'Stocks Price Prediction'!$E$5:$E$16</c:f>
              <c:numCache>
                <c:formatCode>_("$"* #,##0.00_);_("$"* \(#,##0.00\);_("$"* "-"??_);_(@_)</c:formatCode>
                <c:ptCount val="12"/>
                <c:pt idx="0">
                  <c:v>75000</c:v>
                </c:pt>
                <c:pt idx="1">
                  <c:v>34500</c:v>
                </c:pt>
                <c:pt idx="2">
                  <c:v>225000</c:v>
                </c:pt>
                <c:pt idx="3">
                  <c:v>212000</c:v>
                </c:pt>
                <c:pt idx="4">
                  <c:v>6500</c:v>
                </c:pt>
                <c:pt idx="5">
                  <c:v>240000</c:v>
                </c:pt>
                <c:pt idx="6">
                  <c:v>72000</c:v>
                </c:pt>
                <c:pt idx="7">
                  <c:v>22500</c:v>
                </c:pt>
                <c:pt idx="8">
                  <c:v>41250</c:v>
                </c:pt>
                <c:pt idx="9">
                  <c:v>56250</c:v>
                </c:pt>
                <c:pt idx="10">
                  <c:v>20400</c:v>
                </c:pt>
                <c:pt idx="11">
                  <c:v>553000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1-4796-A90B-E1BADB5F38F4}"/>
            </c:ext>
          </c:extLst>
        </c:ser>
        <c:ser>
          <c:idx val="1"/>
          <c:order val="1"/>
          <c:tx>
            <c:strRef>
              <c:f>'Stocks Price Prediction'!$H$4</c:f>
              <c:strCache>
                <c:ptCount val="1"/>
                <c:pt idx="0">
                  <c:v>Total Stock Value After 5 Years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</c:spPr>
          <c:invertIfNegative val="0"/>
          <c:cat>
            <c:strRef>
              <c:f>'Stocks Price Prediction'!$B$5:$B$16</c:f>
              <c:strCache>
                <c:ptCount val="12"/>
                <c:pt idx="0">
                  <c:v>Stock 1</c:v>
                </c:pt>
                <c:pt idx="1">
                  <c:v>Stock 2</c:v>
                </c:pt>
                <c:pt idx="2">
                  <c:v>Stock 3</c:v>
                </c:pt>
                <c:pt idx="3">
                  <c:v>Stock 4</c:v>
                </c:pt>
                <c:pt idx="4">
                  <c:v>Stock 5</c:v>
                </c:pt>
                <c:pt idx="5">
                  <c:v>Stock 6</c:v>
                </c:pt>
                <c:pt idx="6">
                  <c:v>Stock 7</c:v>
                </c:pt>
                <c:pt idx="7">
                  <c:v>Stock 8</c:v>
                </c:pt>
                <c:pt idx="8">
                  <c:v>Stock 9</c:v>
                </c:pt>
                <c:pt idx="9">
                  <c:v>Stock 10</c:v>
                </c:pt>
                <c:pt idx="10">
                  <c:v>Stock 11</c:v>
                </c:pt>
                <c:pt idx="11">
                  <c:v>Stock 12</c:v>
                </c:pt>
              </c:strCache>
            </c:strRef>
          </c:cat>
          <c:val>
            <c:numRef>
              <c:f>'Stocks Price Prediction'!$H$5:$H$16</c:f>
              <c:numCache>
                <c:formatCode>_("$"* #,##0.00_);_("$"* \(#,##0.00\);_("$"* "-"??_);_(@_)</c:formatCode>
                <c:ptCount val="12"/>
                <c:pt idx="0">
                  <c:v>92250</c:v>
                </c:pt>
                <c:pt idx="1">
                  <c:v>62100.000000000007</c:v>
                </c:pt>
                <c:pt idx="2">
                  <c:v>472500</c:v>
                </c:pt>
                <c:pt idx="3">
                  <c:v>318000</c:v>
                </c:pt>
                <c:pt idx="4">
                  <c:v>8775</c:v>
                </c:pt>
                <c:pt idx="5">
                  <c:v>288000</c:v>
                </c:pt>
                <c:pt idx="6">
                  <c:v>100800</c:v>
                </c:pt>
                <c:pt idx="7">
                  <c:v>30825</c:v>
                </c:pt>
                <c:pt idx="8">
                  <c:v>86625</c:v>
                </c:pt>
                <c:pt idx="9">
                  <c:v>112500</c:v>
                </c:pt>
                <c:pt idx="10">
                  <c:v>39575.999999999993</c:v>
                </c:pt>
                <c:pt idx="11">
                  <c:v>967750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31-4796-A90B-E1BADB5F3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7860268"/>
        <c:axId val="1717739363"/>
      </c:barChart>
      <c:catAx>
        <c:axId val="7278602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lang="en-US" sz="900" b="0" i="0" u="none" cap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cs"/>
                <a:cs typeface="+mn-cs"/>
              </a:defRPr>
            </a:pPr>
            <a:endParaRPr lang="zh-CN"/>
          </a:p>
        </c:txPr>
        <c:crossAx val="1717739363"/>
        <c:crosses val="autoZero"/>
        <c:auto val="1"/>
        <c:lblAlgn val="ctr"/>
        <c:lblOffset val="100"/>
        <c:noMultiLvlLbl val="0"/>
      </c:catAx>
      <c:valAx>
        <c:axId val="1717739363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lang="en-US" sz="900" b="0" i="0" u="none" cap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cs"/>
                <a:cs typeface="+mn-cs"/>
              </a:defRPr>
            </a:pPr>
            <a:endParaRPr lang="zh-CN"/>
          </a:p>
        </c:txPr>
        <c:crossAx val="727860268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rot="0" vert="horz"/>
        <a:lstStyle/>
        <a:p>
          <a:pPr>
            <a:defRPr lang="en-US" sz="900" b="0" i="0" u="none" cap="non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Calibri"/>
              <a:cs typeface="Calibri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anchor="ctr"/>
          <a:lstStyle/>
          <a:p>
            <a:pPr algn="ctr">
              <a:defRPr/>
            </a:pPr>
            <a:r>
              <a:rPr lang="en-US" sz="1400" b="0" i="0" u="none" cap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Calibri"/>
                <a:cs typeface="Calibri"/>
              </a:rPr>
              <a:t>Investment Vs Prediction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B30D-40CE-A69A-B8C6C3C3DB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B30D-40CE-A69A-B8C6C3C3DB2F}"/>
              </c:ext>
            </c:extLst>
          </c:dPt>
          <c:dLbls>
            <c:spPr>
              <a:noFill/>
              <a:ln>
                <a:noFill/>
              </a:ln>
            </c:spPr>
            <c:txPr>
              <a:bodyPr rot="0" vert="horz" anchor="ctr">
                <a:spAutoFit/>
              </a:bodyPr>
              <a:lstStyle/>
              <a:p>
                <a:pPr algn="ctr">
                  <a:defRPr lang="en-US" sz="900" b="0" i="0" u="none" cap="non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Calibri"/>
                    <a:cs typeface="Calibri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'Stocks Price Prediction'!$K$4:$K$6</c:f>
              <c:strCache>
                <c:ptCount val="3"/>
                <c:pt idx="0">
                  <c:v>Current Net Worth</c:v>
                </c:pt>
                <c:pt idx="1">
                  <c:v>Prediticted Net Worth</c:v>
                </c:pt>
                <c:pt idx="2">
                  <c:v>Profit/Loss</c:v>
                </c:pt>
              </c:strCache>
            </c:strRef>
          </c:cat>
          <c:val>
            <c:numRef>
              <c:f>'Stocks Price Prediction'!$L$4:$L$6</c:f>
              <c:numCache>
                <c:formatCode>_("$"* #,##0.00_);_("$"* \(#,##0.00\);_("$"* "-"??_);_(@_)</c:formatCode>
                <c:ptCount val="3"/>
                <c:pt idx="0">
                  <c:v>1558400</c:v>
                </c:pt>
                <c:pt idx="1">
                  <c:v>2579701</c:v>
                </c:pt>
                <c:pt idx="2">
                  <c:v>1021301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0D-40CE-A69A-B8C6C3C3D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36309"/>
        <c:axId val="665137804"/>
      </c:barChart>
      <c:catAx>
        <c:axId val="1385363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lang="en-US" sz="900" b="0" i="0" u="none" cap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cs"/>
                <a:cs typeface="+mn-cs"/>
              </a:defRPr>
            </a:pPr>
            <a:endParaRPr lang="zh-CN"/>
          </a:p>
        </c:txPr>
        <c:crossAx val="665137804"/>
        <c:crosses val="autoZero"/>
        <c:auto val="1"/>
        <c:lblAlgn val="ctr"/>
        <c:lblOffset val="100"/>
        <c:noMultiLvlLbl val="0"/>
      </c:catAx>
      <c:valAx>
        <c:axId val="665137804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/>
          <a:lstStyle/>
          <a:p>
            <a:pPr>
              <a:defRPr lang="en-US" sz="900" b="0" i="0" u="none" cap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cs"/>
                <a:cs typeface="+mn-cs"/>
              </a:defRPr>
            </a:pPr>
            <a:endParaRPr lang="zh-CN"/>
          </a:p>
        </c:txPr>
        <c:crossAx val="138536309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18</xdr:row>
      <xdr:rowOff>104775</xdr:rowOff>
    </xdr:from>
    <xdr:to>
      <xdr:col>6</xdr:col>
      <xdr:colOff>600075</xdr:colOff>
      <xdr:row>37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781050</xdr:colOff>
      <xdr:row>18</xdr:row>
      <xdr:rowOff>123825</xdr:rowOff>
    </xdr:from>
    <xdr:to>
      <xdr:col>13</xdr:col>
      <xdr:colOff>95250</xdr:colOff>
      <xdr:row>36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showGridLines="0" tabSelected="0" workbookViewId="0">
      <selection activeCell="K13" sqref="K13"/>
    </sheetView>
  </sheetViews>
  <sheetFormatPr defaultColWidth="9" defaultRowHeight="14.25" x14ac:dyDescent="0.2"/>
  <cols>
    <col min="1" max="1" width="5.125" bestFit="1" customWidth="1"/>
    <col min="2" max="2" width="10.75" bestFit="1" customWidth="1"/>
    <col min="3" max="3" width="17" bestFit="1" customWidth="1"/>
    <col min="4" max="4" width="8.125" bestFit="1" customWidth="1"/>
    <col min="5" max="5" width="22.375" bestFit="1" customWidth="1"/>
    <col min="6" max="6" width="18.375" bestFit="1" customWidth="1"/>
    <col min="7" max="7" width="21.375" bestFit="1" customWidth="1"/>
    <col min="8" max="8" width="26.875" bestFit="1" customWidth="1"/>
    <col min="9" max="9" width="21.75" bestFit="1" customWidth="1"/>
    <col min="11" max="11" width="25.375" bestFit="1" customWidth="1"/>
    <col min="12" max="12" width="20.625" bestFit="1" customWidth="1"/>
  </cols>
  <sheetData>
    <row r="1" spans="1:14" ht="14.25" customHeight="1" x14ac:dyDescent="0.2">
      <c r="A1" s="17" t="s">
        <v>21</v>
      </c>
      <c r="B1" s="17"/>
      <c r="C1" s="17"/>
      <c r="D1" s="17"/>
      <c r="E1" s="17"/>
      <c r="F1" s="17"/>
      <c r="G1" s="17"/>
      <c r="H1" s="17"/>
      <c r="I1" s="17"/>
      <c r="J1" s="2"/>
      <c r="K1" s="2"/>
      <c r="L1" s="2"/>
      <c r="M1" s="2"/>
      <c r="N1" s="2"/>
    </row>
    <row r="2" spans="1:14" ht="19.5" customHeight="1" x14ac:dyDescent="0.2">
      <c r="A2" s="17"/>
      <c r="B2" s="17"/>
      <c r="C2" s="17"/>
      <c r="D2" s="17"/>
      <c r="E2" s="17"/>
      <c r="F2" s="17"/>
      <c r="G2" s="17"/>
      <c r="H2" s="17"/>
      <c r="I2" s="17"/>
      <c r="J2" s="2"/>
      <c r="K2" s="2"/>
      <c r="L2" s="2"/>
      <c r="M2" s="2"/>
      <c r="N2" s="2"/>
    </row>
    <row r="4" spans="1:14" ht="18" x14ac:dyDescent="0.25">
      <c r="A4" s="16" t="s">
        <v>0</v>
      </c>
      <c r="B4" s="16" t="s">
        <v>1</v>
      </c>
      <c r="C4" s="16" t="s">
        <v>26</v>
      </c>
      <c r="D4" s="16" t="s">
        <v>2</v>
      </c>
      <c r="E4" s="16" t="s">
        <v>22</v>
      </c>
      <c r="F4" s="16" t="s">
        <v>23</v>
      </c>
      <c r="G4" s="16" t="s">
        <v>25</v>
      </c>
      <c r="H4" s="16" t="s">
        <v>24</v>
      </c>
      <c r="I4" s="16" t="s">
        <v>18</v>
      </c>
      <c r="K4" s="5" t="s">
        <v>20</v>
      </c>
      <c r="L4" s="3">
        <f>SUM(E5:E16)</f>
        <v>1558400</v>
      </c>
    </row>
    <row r="5" spans="1:14" ht="18" x14ac:dyDescent="0.25">
      <c r="A5" s="6">
        <v>1</v>
      </c>
      <c r="B5" s="6" t="s">
        <v>6</v>
      </c>
      <c r="C5" s="7">
        <v>50</v>
      </c>
      <c r="D5" s="6">
        <v>1500</v>
      </c>
      <c r="E5" s="7">
        <f>C5*D5</f>
        <v>75000</v>
      </c>
      <c r="F5" s="8">
        <v>0.23</v>
      </c>
      <c r="G5" s="7">
        <f>(F5*C5)+C5</f>
        <v>61.5</v>
      </c>
      <c r="H5" s="7">
        <f>D5*G5</f>
        <v>92250</v>
      </c>
      <c r="I5" s="7">
        <f>H5-E5</f>
        <v>17250</v>
      </c>
      <c r="K5" s="5" t="s">
        <v>19</v>
      </c>
      <c r="L5" s="3">
        <f>SUM(H5:H16)</f>
        <v>2579701</v>
      </c>
    </row>
    <row r="6" spans="1:14" ht="18" customHeight="1" x14ac:dyDescent="0.25">
      <c r="A6" s="9">
        <v>2</v>
      </c>
      <c r="B6" s="9" t="s">
        <v>7</v>
      </c>
      <c r="C6" s="10">
        <v>11.5</v>
      </c>
      <c r="D6" s="9">
        <v>3000</v>
      </c>
      <c r="E6" s="10">
        <f t="shared" ref="E6:E14" si="0">C6*D6</f>
        <v>34500</v>
      </c>
      <c r="F6" s="11">
        <v>0.8</v>
      </c>
      <c r="G6" s="10">
        <f t="shared" ref="G6:G14" si="1">(F6*C6)+C6</f>
        <v>20.700000000000003</v>
      </c>
      <c r="H6" s="10">
        <f t="shared" ref="H6:H14" si="2">D6*G6</f>
        <v>62100.000000000007</v>
      </c>
      <c r="I6" s="10">
        <f t="shared" ref="I6:I14" si="3">H6-E6</f>
        <v>27600.000000000007</v>
      </c>
      <c r="K6" s="5" t="s">
        <v>3</v>
      </c>
      <c r="L6" s="3">
        <f>SUM(I5:I16)</f>
        <v>1021301</v>
      </c>
    </row>
    <row r="7" spans="1:14" ht="18" customHeight="1" x14ac:dyDescent="0.25">
      <c r="A7" s="6">
        <v>3</v>
      </c>
      <c r="B7" s="6" t="s">
        <v>8</v>
      </c>
      <c r="C7" s="7">
        <v>45</v>
      </c>
      <c r="D7" s="6">
        <v>5000</v>
      </c>
      <c r="E7" s="7">
        <f t="shared" si="0"/>
        <v>225000</v>
      </c>
      <c r="F7" s="12">
        <v>1.1000000000000001</v>
      </c>
      <c r="G7" s="7">
        <f>(F7*C7)+C7</f>
        <v>94.5</v>
      </c>
      <c r="H7" s="7">
        <f t="shared" si="2"/>
        <v>472500</v>
      </c>
      <c r="I7" s="7">
        <f t="shared" si="3"/>
        <v>247500</v>
      </c>
      <c r="K7" s="5" t="s">
        <v>5</v>
      </c>
      <c r="L7" s="4">
        <f>L6/L4</f>
        <v>0.65535228439425053</v>
      </c>
    </row>
    <row r="8" spans="1:14" ht="18" customHeight="1" x14ac:dyDescent="0.2">
      <c r="A8" s="9">
        <v>4</v>
      </c>
      <c r="B8" s="9" t="s">
        <v>9</v>
      </c>
      <c r="C8" s="10">
        <v>53</v>
      </c>
      <c r="D8" s="9">
        <v>4000</v>
      </c>
      <c r="E8" s="10">
        <f t="shared" si="0"/>
        <v>212000</v>
      </c>
      <c r="F8" s="13">
        <v>0.5</v>
      </c>
      <c r="G8" s="10">
        <f t="shared" si="1"/>
        <v>79.5</v>
      </c>
      <c r="H8" s="10">
        <f t="shared" si="2"/>
        <v>318000</v>
      </c>
      <c r="I8" s="10">
        <f t="shared" si="3"/>
        <v>106000</v>
      </c>
    </row>
    <row r="9" spans="1:14" ht="18" customHeight="1" x14ac:dyDescent="0.2">
      <c r="A9" s="6">
        <v>5</v>
      </c>
      <c r="B9" s="6" t="s">
        <v>10</v>
      </c>
      <c r="C9" s="7">
        <v>13</v>
      </c>
      <c r="D9" s="6">
        <v>500</v>
      </c>
      <c r="E9" s="7">
        <f t="shared" si="0"/>
        <v>6500</v>
      </c>
      <c r="F9" s="12">
        <v>0.35</v>
      </c>
      <c r="G9" s="7">
        <f t="shared" si="1"/>
        <v>17.55</v>
      </c>
      <c r="H9" s="7">
        <f t="shared" si="2"/>
        <v>8775</v>
      </c>
      <c r="I9" s="7">
        <f t="shared" si="3"/>
        <v>2275</v>
      </c>
    </row>
    <row r="10" spans="1:14" ht="18" customHeight="1" x14ac:dyDescent="0.2">
      <c r="A10" s="9">
        <v>6</v>
      </c>
      <c r="B10" s="9" t="s">
        <v>11</v>
      </c>
      <c r="C10" s="10">
        <v>60</v>
      </c>
      <c r="D10" s="9">
        <v>4000</v>
      </c>
      <c r="E10" s="10">
        <f t="shared" si="0"/>
        <v>240000</v>
      </c>
      <c r="F10" s="11">
        <v>0.2</v>
      </c>
      <c r="G10" s="10">
        <f t="shared" si="1"/>
        <v>72</v>
      </c>
      <c r="H10" s="10">
        <f t="shared" si="2"/>
        <v>288000</v>
      </c>
      <c r="I10" s="10">
        <f t="shared" si="3"/>
        <v>48000</v>
      </c>
    </row>
    <row r="11" spans="1:14" ht="18" customHeight="1" x14ac:dyDescent="0.2">
      <c r="A11" s="6">
        <v>7</v>
      </c>
      <c r="B11" s="6" t="s">
        <v>12</v>
      </c>
      <c r="C11" s="7">
        <v>60</v>
      </c>
      <c r="D11" s="6">
        <v>1200</v>
      </c>
      <c r="E11" s="7">
        <f t="shared" si="0"/>
        <v>72000</v>
      </c>
      <c r="F11" s="8">
        <v>0.4</v>
      </c>
      <c r="G11" s="7">
        <f t="shared" si="1"/>
        <v>84</v>
      </c>
      <c r="H11" s="7">
        <f t="shared" si="2"/>
        <v>100800</v>
      </c>
      <c r="I11" s="7">
        <f t="shared" si="3"/>
        <v>28800</v>
      </c>
    </row>
    <row r="12" spans="1:14" ht="18" customHeight="1" x14ac:dyDescent="0.2">
      <c r="A12" s="9">
        <v>8</v>
      </c>
      <c r="B12" s="9" t="s">
        <v>13</v>
      </c>
      <c r="C12" s="10">
        <v>15</v>
      </c>
      <c r="D12" s="9">
        <v>1500</v>
      </c>
      <c r="E12" s="10">
        <f t="shared" si="0"/>
        <v>22500</v>
      </c>
      <c r="F12" s="11">
        <v>0.37</v>
      </c>
      <c r="G12" s="10">
        <f t="shared" si="1"/>
        <v>20.55</v>
      </c>
      <c r="H12" s="10">
        <f t="shared" si="2"/>
        <v>30825</v>
      </c>
      <c r="I12" s="10">
        <f t="shared" si="3"/>
        <v>8325</v>
      </c>
    </row>
    <row r="13" spans="1:14" ht="18" customHeight="1" x14ac:dyDescent="0.2">
      <c r="A13" s="6">
        <v>9</v>
      </c>
      <c r="B13" s="6" t="s">
        <v>14</v>
      </c>
      <c r="C13" s="7">
        <v>55</v>
      </c>
      <c r="D13" s="6">
        <v>750</v>
      </c>
      <c r="E13" s="7">
        <f t="shared" si="0"/>
        <v>41250</v>
      </c>
      <c r="F13" s="12">
        <v>1.1000000000000001</v>
      </c>
      <c r="G13" s="7">
        <f t="shared" si="1"/>
        <v>115.5</v>
      </c>
      <c r="H13" s="7">
        <f t="shared" si="2"/>
        <v>86625</v>
      </c>
      <c r="I13" s="7">
        <f t="shared" si="3"/>
        <v>45375</v>
      </c>
    </row>
    <row r="14" spans="1:14" ht="18" customHeight="1" x14ac:dyDescent="0.2">
      <c r="A14" s="9">
        <v>10</v>
      </c>
      <c r="B14" s="9" t="s">
        <v>15</v>
      </c>
      <c r="C14" s="10">
        <v>75</v>
      </c>
      <c r="D14" s="9">
        <v>750</v>
      </c>
      <c r="E14" s="10">
        <f t="shared" si="0"/>
        <v>56250</v>
      </c>
      <c r="F14" s="13">
        <v>1</v>
      </c>
      <c r="G14" s="10">
        <f t="shared" si="1"/>
        <v>150</v>
      </c>
      <c r="H14" s="10">
        <f t="shared" si="2"/>
        <v>112500</v>
      </c>
      <c r="I14" s="10">
        <f t="shared" si="3"/>
        <v>56250</v>
      </c>
    </row>
    <row r="15" spans="1:14" ht="18" customHeight="1" x14ac:dyDescent="0.2">
      <c r="A15" s="6">
        <v>11</v>
      </c>
      <c r="B15" s="6" t="s">
        <v>16</v>
      </c>
      <c r="C15" s="7">
        <v>17</v>
      </c>
      <c r="D15" s="6">
        <v>1200</v>
      </c>
      <c r="E15" s="7">
        <f t="shared" ref="E15:E16" si="4">C15*D15</f>
        <v>20400</v>
      </c>
      <c r="F15" s="12">
        <v>0.94</v>
      </c>
      <c r="G15" s="7">
        <f t="shared" ref="G15:G16" si="5">(F15*C15)+C15</f>
        <v>32.979999999999997</v>
      </c>
      <c r="H15" s="7">
        <f t="shared" ref="H15:H16" si="6">D15*G15</f>
        <v>39575.999999999993</v>
      </c>
      <c r="I15" s="7">
        <f t="shared" ref="I15:I16" si="7">H15-E15</f>
        <v>19175.999999999993</v>
      </c>
    </row>
    <row r="16" spans="1:14" ht="18" customHeight="1" x14ac:dyDescent="0.2">
      <c r="A16" s="9">
        <v>12</v>
      </c>
      <c r="B16" s="9" t="s">
        <v>17</v>
      </c>
      <c r="C16" s="10">
        <v>70</v>
      </c>
      <c r="D16" s="9">
        <v>7900</v>
      </c>
      <c r="E16" s="10">
        <f t="shared" si="4"/>
        <v>553000</v>
      </c>
      <c r="F16" s="11">
        <v>0.75</v>
      </c>
      <c r="G16" s="10">
        <f t="shared" si="5"/>
        <v>122.5</v>
      </c>
      <c r="H16" s="10">
        <f t="shared" si="6"/>
        <v>967750</v>
      </c>
      <c r="I16" s="10">
        <f t="shared" si="7"/>
        <v>414750</v>
      </c>
    </row>
    <row r="17" spans="1:9" ht="18" customHeight="1" x14ac:dyDescent="0.2">
      <c r="A17" s="14" t="s">
        <v>4</v>
      </c>
      <c r="B17" s="14"/>
      <c r="C17" s="14"/>
      <c r="D17" s="14"/>
      <c r="E17" s="15">
        <f>SUBTOTAL(109,'Stocks Price Prediction'!$E$5:$E$16)</f>
        <v>1558400</v>
      </c>
      <c r="F17" s="14"/>
      <c r="G17" s="14"/>
      <c r="H17" s="15">
        <f>SUBTOTAL(109,'Stocks Price Prediction'!$H$5:$H$16)</f>
        <v>2579701</v>
      </c>
      <c r="I17" s="15">
        <f>SUBTOTAL(109,'Stocks Price Prediction'!$I$5:$I$16)</f>
        <v>1021301</v>
      </c>
    </row>
    <row r="18" spans="1:9" x14ac:dyDescent="0.2">
      <c r="F18" s="1"/>
    </row>
    <row r="19" spans="1:9" x14ac:dyDescent="0.2">
      <c r="F19" s="1"/>
    </row>
  </sheetData>
  <scenarios current="3" show="0">
    <scenario name="Current % of Change" locked="1" count="6" user="User" comment="Created by User at 2026/08/28">
      <inputCells r="F5" val="0.23"/>
      <inputCells r="F6" val="0.8"/>
      <inputCells r="F7" val="1.1"/>
      <inputCells r="F8" val="0.5"/>
      <inputCells r="F9" val="0.35"/>
      <inputCells r="F10" val="0.2"/>
    </scenario>
    <scenario name="Increased % of Change" locked="1" count="6" user="User" comment="Created by User at 2026/08/28">
      <inputCells r="F5" val="0.45"/>
      <inputCells r="F6" val="0.56"/>
      <inputCells r="F7" val="0.9"/>
      <inputCells r="F8" val="0.5"/>
      <inputCells r="F9" val="0.58"/>
      <inputCells r="F10" val="0.43"/>
    </scenario>
    <scenario name="Decreased % of Change" locked="1" count="6" user="User" comment="Created by User at 2026/08/28">
      <inputCells r="F5" val="0.3"/>
      <inputCells r="F6" val="0.2"/>
      <inputCells r="F7" val="0.5"/>
      <inputCells r="F8" val="0.3"/>
      <inputCells r="F9" val="0.5"/>
      <inputCells r="F10" val="0.23"/>
    </scenario>
    <scenario name="Current Quantity" locked="1" count="6" user="User" comment="Created by User at 2026/08/28">
      <inputCells r="D5" val="1500"/>
      <inputCells r="D6" val="3000"/>
      <inputCells r="D7" val="5000"/>
      <inputCells r="D8" val="4000"/>
      <inputCells r="D9" val="500"/>
      <inputCells r="D10" val="4000"/>
    </scenario>
    <scenario name="Increased Quantity" locked="1" count="6" user="User" comment="Created by User at 2026/08/28">
      <inputCells r="D5" val="1000"/>
      <inputCells r="D6" val="5000"/>
      <inputCells r="D7" val="4500"/>
      <inputCells r="D8" val="3900"/>
      <inputCells r="D9" val="10000"/>
      <inputCells r="D10" val="8900"/>
    </scenario>
    <scenario name="Decreased Quantity" locked="1" count="6" user="User" comment="Created by User at 2026/08/28">
      <inputCells r="D5" val="1000"/>
      <inputCells r="D6" val="2000"/>
      <inputCells r="D7" val="3000"/>
      <inputCells r="D8" val="3000"/>
      <inputCells r="D9" val="300"/>
      <inputCells r="D10" val="4000"/>
    </scenario>
  </scenarios>
  <mergeCells count="1">
    <mergeCell ref="A1:I2"/>
  </mergeCells>
  <phoneticPr fontId="10" type="noConversion"/>
  <conditionalFormatting sqref="L4:L7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J15"/>
  <sheetViews>
    <sheetView showGridLines="0" tabSelected="1" workbookViewId="0">
      <selection activeCell="A1" sqref="A1"/>
    </sheetView>
  </sheetViews>
  <sheetFormatPr defaultRowHeight="18"/>
  <cols>
    <col min="1" max="1" width="8" customWidth="1"/>
    <col min="2" max="2" width="24" customWidth="1"/>
    <col min="3" max="3" width="16" customWidth="1"/>
    <col min="4" max="4" width="12" customWidth="1"/>
    <col min="5" max="5" width="22" customWidth="1"/>
    <col min="6" max="6" width="18" customWidth="1"/>
    <col min="7" max="8" width="22" customWidth="1"/>
    <col min="9" max="9" width="24" customWidth="1"/>
    <col min="10" max="10" width="12" customWidth="1"/>
  </cols>
  <sheetData>
    <row r="1" ht="30" customHeight="1">
      <c r="A1" s="18" t="inlineStr">
        <is>
          <t>Portfolio Scenario Analysis (Random Sample)</t>
        </is>
      </c>
      <c r="B1" s="18"/>
      <c r="C1" s="18"/>
      <c r="D1" s="18"/>
      <c r="E1" s="18"/>
      <c r="F1" s="18"/>
      <c r="G1" s="18"/>
      <c r="H1" s="18"/>
      <c r="I1" s="18"/>
      <c r="J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</row>
    <row r="4">
      <c r="A4" s="19" t="inlineStr">
        <is>
          <t>S.No</t>
        </is>
      </c>
      <c r="B4" s="19" t="inlineStr">
        <is>
          <t>Stock Name</t>
        </is>
      </c>
      <c r="C4" s="19" t="inlineStr">
        <is>
          <t>Current Stock Price</t>
        </is>
      </c>
      <c r="D4" s="19" t="inlineStr">
        <is>
          <t>Quantity</t>
        </is>
      </c>
      <c r="E4" s="19" t="inlineStr">
        <is>
          <t>Current Total Stock Value</t>
        </is>
      </c>
      <c r="F4" s="19" t="inlineStr">
        <is>
          <t>% Change for 5 Years</t>
        </is>
      </c>
      <c r="G4" s="19" t="inlineStr">
        <is>
          <t>Stock Price After 5 Years</t>
        </is>
      </c>
      <c r="H4" s="19" t="inlineStr">
        <is>
          <t>Total Stock Value After 5 Years</t>
        </is>
      </c>
      <c r="I4" s="19" t="inlineStr">
        <is>
          <t>Predicted Profit or Loss</t>
        </is>
      </c>
      <c r="J4" s="19" t="inlineStr">
        <is>
          <t>Risk Level</t>
        </is>
      </c>
    </row>
    <row r="5">
      <c r="A5" s="9">
        <v>1</v>
      </c>
      <c r="B5" s="9" t="inlineStr">
        <is>
          <t>NovaTech</t>
        </is>
      </c>
      <c r="C5" s="10">
        <v>42.29</v>
      </c>
      <c r="D5" s="9">
        <v>3400</v>
      </c>
      <c r="E5" s="10">
        <f>C5*D5</f>
        <v>143786.0</v>
      </c>
      <c r="F5" s="13">
        <v>1.09</v>
      </c>
      <c r="G5" s="10">
        <f>C5*(1+F5)</f>
        <v>88.39</v>
      </c>
      <c r="H5" s="10">
        <f>D5*G5</f>
        <v>300526.0</v>
      </c>
      <c r="I5" s="10">
        <f>H5-E5</f>
        <v>156740.0</v>
      </c>
      <c r="J5" s="9" t="inlineStr">
        <is>
          <t>Medium</t>
        </is>
      </c>
    </row>
    <row r="6">
      <c r="A6" s="9">
        <v>2</v>
      </c>
      <c r="B6" s="9" t="inlineStr">
        <is>
          <t>BlueWave</t>
        </is>
      </c>
      <c r="C6" s="10">
        <v>104.69</v>
      </c>
      <c r="D6" s="9">
        <v>6200</v>
      </c>
      <c r="E6" s="10">
        <f>C6*D6</f>
        <v>649078.0</v>
      </c>
      <c r="F6" s="13">
        <v>1.02</v>
      </c>
      <c r="G6" s="10">
        <f>C6*(1+F6)</f>
        <v>211.47</v>
      </c>
      <c r="H6" s="10">
        <f>D6*G6</f>
        <v>1311114.0</v>
      </c>
      <c r="I6" s="10">
        <f>H6-E6</f>
        <v>662036.0</v>
      </c>
      <c r="J6" s="9" t="inlineStr">
        <is>
          <t>High</t>
        </is>
      </c>
    </row>
    <row r="7">
      <c r="A7" s="9">
        <v>3</v>
      </c>
      <c r="B7" s="9" t="inlineStr">
        <is>
          <t>Solaris Energy</t>
        </is>
      </c>
      <c r="C7" s="10">
        <v>150.56</v>
      </c>
      <c r="D7" s="9">
        <v>5000</v>
      </c>
      <c r="E7" s="10">
        <f>C7*D7</f>
        <v>752800.0</v>
      </c>
      <c r="F7" s="13">
        <v>0.63</v>
      </c>
      <c r="G7" s="10">
        <f>C7*(1+F7)</f>
        <v>245.41</v>
      </c>
      <c r="H7" s="10">
        <f>D7*G7</f>
        <v>1227050.0</v>
      </c>
      <c r="I7" s="10">
        <f>H7-E7</f>
        <v>474250.0</v>
      </c>
      <c r="J7" s="9" t="inlineStr">
        <is>
          <t>Medium</t>
        </is>
      </c>
    </row>
    <row r="8">
      <c r="A8" s="9">
        <v>4</v>
      </c>
      <c r="B8" s="9" t="inlineStr">
        <is>
          <t>Quantum Bank</t>
        </is>
      </c>
      <c r="C8" s="10">
        <v>34.42</v>
      </c>
      <c r="D8" s="9">
        <v>5800</v>
      </c>
      <c r="E8" s="10">
        <f>C8*D8</f>
        <v>199636.0</v>
      </c>
      <c r="F8" s="13">
        <v>0.11</v>
      </c>
      <c r="G8" s="10">
        <f>C8*(1+F8)</f>
        <v>38.21</v>
      </c>
      <c r="H8" s="10">
        <f>D8*G8</f>
        <v>221618.0</v>
      </c>
      <c r="I8" s="10">
        <f>H8-E8</f>
        <v>21982.0</v>
      </c>
      <c r="J8" s="9" t="inlineStr">
        <is>
          <t>Low</t>
        </is>
      </c>
    </row>
    <row r="9">
      <c r="A9" s="9">
        <v>5</v>
      </c>
      <c r="B9" s="9" t="inlineStr">
        <is>
          <t>Aero Dynamics</t>
        </is>
      </c>
      <c r="C9" s="10">
        <v>149.57</v>
      </c>
      <c r="D9" s="9">
        <v>3500</v>
      </c>
      <c r="E9" s="10">
        <f>C9*D9</f>
        <v>523495.0</v>
      </c>
      <c r="F9" s="13">
        <v>0.72</v>
      </c>
      <c r="G9" s="10">
        <f>C9*(1+F9)</f>
        <v>257.26</v>
      </c>
      <c r="H9" s="10">
        <f>D9*G9</f>
        <v>900410.0</v>
      </c>
      <c r="I9" s="10">
        <f>H9-E9</f>
        <v>376915.0</v>
      </c>
      <c r="J9" s="9" t="inlineStr">
        <is>
          <t>High</t>
        </is>
      </c>
    </row>
    <row r="10">
      <c r="A10" s="9">
        <v>6</v>
      </c>
      <c r="B10" s="9" t="inlineStr">
        <is>
          <t>GreenLeaf Foods</t>
        </is>
      </c>
      <c r="C10" s="10">
        <v>86.35</v>
      </c>
      <c r="D10" s="9">
        <v>6100</v>
      </c>
      <c r="E10" s="10">
        <f>C10*D10</f>
        <v>526735.0</v>
      </c>
      <c r="F10" s="13">
        <v>1.01</v>
      </c>
      <c r="G10" s="10">
        <f>C10*(1+F10)</f>
        <v>173.56</v>
      </c>
      <c r="H10" s="10">
        <f>D10*G10</f>
        <v>1058716.0</v>
      </c>
      <c r="I10" s="10">
        <f>H10-E10</f>
        <v>531981.0</v>
      </c>
      <c r="J10" s="9" t="inlineStr">
        <is>
          <t>Low</t>
        </is>
      </c>
    </row>
    <row r="11">
      <c r="A11" s="9">
        <v>7</v>
      </c>
      <c r="B11" s="9" t="inlineStr">
        <is>
          <t>CyberSecure</t>
        </is>
      </c>
      <c r="C11" s="10">
        <v>84.47</v>
      </c>
      <c r="D11" s="9">
        <v>3600</v>
      </c>
      <c r="E11" s="10">
        <f>C11*D11</f>
        <v>304092.0</v>
      </c>
      <c r="F11" s="13">
        <v>0.61</v>
      </c>
      <c r="G11" s="10">
        <f>C11*(1+F11)</f>
        <v>136.0</v>
      </c>
      <c r="H11" s="10">
        <f>D11*G11</f>
        <v>489600.0</v>
      </c>
      <c r="I11" s="10">
        <f>H11-E11</f>
        <v>185508.0</v>
      </c>
      <c r="J11" s="9" t="inlineStr">
        <is>
          <t>High</t>
        </is>
      </c>
    </row>
    <row r="12">
      <c r="A12" s="9">
        <v>8</v>
      </c>
      <c r="B12" s="9" t="inlineStr">
        <is>
          <t>MediCore Labs</t>
        </is>
      </c>
      <c r="C12" s="10">
        <v>49.62</v>
      </c>
      <c r="D12" s="9">
        <v>6700</v>
      </c>
      <c r="E12" s="10">
        <f>C12*D12</f>
        <v>332454.0</v>
      </c>
      <c r="F12" s="13">
        <v>0.93</v>
      </c>
      <c r="G12" s="10">
        <f>C12*(1+F12)</f>
        <v>95.77</v>
      </c>
      <c r="H12" s="10">
        <f>D12*G12</f>
        <v>641659.0</v>
      </c>
      <c r="I12" s="10">
        <f>H12-E12</f>
        <v>309205.0</v>
      </c>
      <c r="J12" s="9" t="inlineStr">
        <is>
          <t>Low</t>
        </is>
      </c>
    </row>
    <row r="13">
      <c r="A13" s="9">
        <v>9</v>
      </c>
      <c r="B13" s="9" t="inlineStr">
        <is>
          <t>IronBridge Steel</t>
        </is>
      </c>
      <c r="C13" s="10">
        <v>166.41</v>
      </c>
      <c r="D13" s="9">
        <v>5100</v>
      </c>
      <c r="E13" s="10">
        <f>C13*D13</f>
        <v>848691.0</v>
      </c>
      <c r="F13" s="13">
        <v>0.15</v>
      </c>
      <c r="G13" s="10">
        <f>C13*(1+F13)</f>
        <v>191.37</v>
      </c>
      <c r="H13" s="10">
        <f>D13*G13</f>
        <v>975987.0</v>
      </c>
      <c r="I13" s="10">
        <f>H13-E13</f>
        <v>127296.0</v>
      </c>
      <c r="J13" s="9" t="inlineStr">
        <is>
          <t>Low</t>
        </is>
      </c>
    </row>
    <row r="14">
      <c r="A14" s="9">
        <v>10</v>
      </c>
      <c r="B14" s="9" t="inlineStr">
        <is>
          <t>PixelWorks</t>
        </is>
      </c>
      <c r="C14" s="10">
        <v>95.96</v>
      </c>
      <c r="D14" s="9">
        <v>7500</v>
      </c>
      <c r="E14" s="10">
        <f>C14*D14</f>
        <v>719700.0</v>
      </c>
      <c r="F14" s="13">
        <v>0.64</v>
      </c>
      <c r="G14" s="10">
        <f>C14*(1+F14)</f>
        <v>157.37</v>
      </c>
      <c r="H14" s="10">
        <f>D14*G14</f>
        <v>1180275.0</v>
      </c>
      <c r="I14" s="10">
        <f>H14-E14</f>
        <v>460575.0</v>
      </c>
      <c r="J14" s="9" t="inlineStr">
        <is>
          <t>High</t>
        </is>
      </c>
    </row>
    <row r="15">
      <c r="A15" s="14" t="inlineStr">
        <is>
          <t>Total</t>
        </is>
      </c>
      <c r="B15" s="14"/>
      <c r="C15" s="14"/>
      <c r="D15" s="14"/>
      <c r="E15" s="15">
        <f>SUM(E5:E14)</f>
        <v>0</v>
      </c>
      <c r="F15" s="14"/>
      <c r="G15" s="14"/>
      <c r="H15" s="15">
        <f>SUM(H5:H14)</f>
        <v>0</v>
      </c>
      <c r="I15" s="15">
        <f>SUM(I5:I14)</f>
        <v>0</v>
      </c>
      <c r="J15" s="14"/>
    </row>
  </sheetData>
  <scenarios current="0" show="0" sqref="F5:F14">
    <scenario name="Base Growth" locked="1" hidden="0" user="User" comment="Created by User at 2026/08/31" count="10">
      <inputCells r="F5" val="1.09" numFmtId="10"/>
      <inputCells r="F6" val="1.02" numFmtId="10"/>
      <inputCells r="F7" val="0.63" numFmtId="10"/>
      <inputCells r="F8" val="0.11" numFmtId="10"/>
      <inputCells r="F9" val="0.72" numFmtId="10"/>
      <inputCells r="F10" val="1.01" numFmtId="10"/>
      <inputCells r="F11" val="0.61" numFmtId="10"/>
      <inputCells r="F12" val="0.93" numFmtId="10"/>
      <inputCells r="F13" val="0.15" numFmtId="10"/>
      <inputCells r="F14" val="0.64" numFmtId="10"/>
    </scenario>
    <scenario name="Conservative Growth" locked="1" hidden="0" user="User" comment="Created by User at 2026/08/31" count="10">
      <inputCells r="F5" val="0.61" numFmtId="10"/>
      <inputCells r="F6" val="0.44" numFmtId="10"/>
      <inputCells r="F7" val="0.31" numFmtId="10"/>
      <inputCells r="F8" val="0.08" numFmtId="10"/>
      <inputCells r="F9" val="0.49" numFmtId="10"/>
      <inputCells r="F10" val="0.51" numFmtId="10"/>
      <inputCells r="F11" val="0.31" numFmtId="10"/>
      <inputCells r="F12" val="0.68" numFmtId="10"/>
      <inputCells r="F13" val="0.11" numFmtId="10"/>
      <inputCells r="F14" val="0.31" numFmtId="10"/>
    </scenario>
    <scenario name="Aggressive Growth" locked="1" hidden="0" user="User" comment="Created by User at 2026/08/31" count="10">
      <inputCells r="F5" val="1.46" numFmtId="10"/>
      <inputCells r="F6" val="1.74" numFmtId="10"/>
      <inputCells r="F7" val="1.02" numFmtId="10"/>
      <inputCells r="F8" val="0.16" numFmtId="10"/>
      <inputCells r="F9" val="1.05" numFmtId="10"/>
      <inputCells r="F10" val="1.58" numFmtId="10"/>
      <inputCells r="F11" val="1.08" numFmtId="10"/>
      <inputCells r="F12" val="1.27" numFmtId="10"/>
      <inputCells r="F13" val="0.26" numFmtId="10"/>
      <inputCells r="F14" val="0.98" numFmtId="10"/>
    </scenario>
  </scenarios>
  <mergeCells count="1">
    <mergeCell ref="A1:J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 Price Prediction</vt:lpstr>
      <vt:lpstr>Portfolio Scenario Analysis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Administrator</cp:lastModifiedBy>
  <dcterms:created xsi:type="dcterms:W3CDTF">2023-07-24T23:15:02Z</dcterms:created>
  <dcterms:modified xsi:type="dcterms:W3CDTF">2026-08-28T09:23:54Z</dcterms:modified>
  <cp:category/>
  <cp:contentStatus/>
  <cp:version/>
</cp:coreProperties>
</file>